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70" authorId="0">
      <text>
        <r>
          <rPr>
            <sz val="10"/>
            <rFont val="Arial"/>
            <family val="2"/>
          </rPr>
          <t xml:space="preserve">Typical limit for standard mine structures.</t>
        </r>
      </text>
    </comment>
    <comment ref="A71" authorId="0">
      <text>
        <r>
          <rPr>
            <sz val="10"/>
            <rFont val="Arial"/>
            <family val="2"/>
          </rPr>
          <t xml:space="preserve">Typical limit for sensitive/heritage structures.</t>
        </r>
      </text>
    </comment>
    <comment ref="B47" authorId="0">
      <text>
        <r>
          <rPr>
            <sz val="10"/>
            <rFont val="Arial"/>
            <family val="2"/>
          </rPr>
          <t xml:space="preserve">Assumption: blastability index for competent hard rock. Refine with site-specific rock mass data (e.g. RMD/RDI/HF method) if available.</t>
        </r>
      </text>
    </comment>
    <comment ref="B50" authorId="0">
      <text>
        <r>
          <rPr>
            <sz val="10"/>
            <rFont val="Arial"/>
            <family val="2"/>
          </rPr>
          <t xml:space="preserve">4 holes per cut section, matching the *4 multiplier already used in H23:H26 (q*no. of holes) above.</t>
        </r>
      </text>
    </comment>
    <comment ref="B55" authorId="0">
      <text>
        <r>
          <rPr>
            <sz val="10"/>
            <rFont val="Arial"/>
            <family val="2"/>
          </rPr>
          <t xml:space="preserve">Kuz-Ram equation: X50 = A x (V0/Qe)^0.8 x Qe^(1/6) x (115/RWS)^(19/30). Design-stage estimate - A and Qe are assumed/averaged values; refine against monitored blast results.</t>
        </r>
      </text>
    </comment>
    <comment ref="B59" authorId="0">
      <text>
        <r>
          <rPr>
            <sz val="10"/>
            <rFont val="Arial"/>
            <family val="2"/>
          </rPr>
          <t xml:space="preserve">Assumed/typical USBM scaled-distance site constant. A real site would calibrate K and B from monitored test-blast vibration records.</t>
        </r>
      </text>
    </comment>
    <comment ref="B60" authorId="0">
      <text>
        <r>
          <rPr>
            <sz val="10"/>
            <rFont val="Arial"/>
            <family val="2"/>
          </rPr>
          <t xml:space="preserve">Assumed/typical USBM attenuation exponent.</t>
        </r>
      </text>
    </comment>
    <comment ref="B61" authorId="0">
      <text>
        <r>
          <rPr>
            <sz val="10"/>
            <rFont val="Arial"/>
            <family val="2"/>
          </rPr>
          <t xml:space="preserve">Assumed maximum instantaneous charge fired per delay for this design (from the initiation sequence). Confirm against the actual detonator/delay assignment.</t>
        </r>
      </text>
    </comment>
  </commentList>
</comments>
</file>

<file path=xl/sharedStrings.xml><?xml version="1.0" encoding="utf-8"?>
<sst xmlns="http://schemas.openxmlformats.org/spreadsheetml/2006/main" count="165" uniqueCount="164">
  <si>
    <t xml:space="preserve">X</t>
  </si>
  <si>
    <t xml:space="preserve">Y</t>
  </si>
  <si>
    <t xml:space="preserve">X,Y_8</t>
  </si>
  <si>
    <t xml:space="preserve">X,Y_7</t>
  </si>
  <si>
    <t xml:space="preserve">X,Y_6</t>
  </si>
  <si>
    <t xml:space="preserve">X,Y_5</t>
  </si>
  <si>
    <t xml:space="preserve">X,Y_4</t>
  </si>
  <si>
    <t xml:space="preserve">X,Y_3</t>
  </si>
  <si>
    <t xml:space="preserve">X,Y_1</t>
  </si>
  <si>
    <t xml:space="preserve">X,Y_2</t>
  </si>
  <si>
    <t xml:space="preserve">0.15,2.05</t>
  </si>
  <si>
    <t xml:space="preserve">0.15,1.55</t>
  </si>
  <si>
    <t xml:space="preserve">0.15,1.05</t>
  </si>
  <si>
    <t xml:space="preserve">0.15,0.15</t>
  </si>
  <si>
    <t xml:space="preserve">0.15,0.55</t>
  </si>
  <si>
    <t xml:space="preserve">0.55,2.55</t>
  </si>
  <si>
    <t xml:space="preserve">0.55,2.05</t>
  </si>
  <si>
    <t xml:space="preserve">0.55,1.55</t>
  </si>
  <si>
    <t xml:space="preserve">0.55,1.05</t>
  </si>
  <si>
    <t xml:space="preserve">0.55,0.15</t>
  </si>
  <si>
    <t xml:space="preserve">0.55,0.55</t>
  </si>
  <si>
    <t xml:space="preserve">1.05,3.05</t>
  </si>
  <si>
    <t xml:space="preserve">1.05,2.55</t>
  </si>
  <si>
    <t xml:space="preserve">1.05,2.05</t>
  </si>
  <si>
    <t xml:space="preserve">1.05,1.55</t>
  </si>
  <si>
    <t xml:space="preserve">1.05,1.05</t>
  </si>
  <si>
    <t xml:space="preserve">1.05,0.15</t>
  </si>
  <si>
    <t xml:space="preserve">1.05,0.55</t>
  </si>
  <si>
    <t xml:space="preserve">1.55,3.05</t>
  </si>
  <si>
    <t xml:space="preserve">1.55,2.55</t>
  </si>
  <si>
    <t xml:space="preserve">1.55,2.05</t>
  </si>
  <si>
    <t xml:space="preserve">1.55,1.55</t>
  </si>
  <si>
    <t xml:space="preserve">1.55,1.05</t>
  </si>
  <si>
    <t xml:space="preserve">1.55,0.15</t>
  </si>
  <si>
    <t xml:space="preserve">1.55,0.55</t>
  </si>
  <si>
    <t xml:space="preserve">2.05,3.55</t>
  </si>
  <si>
    <t xml:space="preserve">2.05,3.05</t>
  </si>
  <si>
    <t xml:space="preserve">2.05,2.55</t>
  </si>
  <si>
    <t xml:space="preserve">2.05,2.05</t>
  </si>
  <si>
    <t xml:space="preserve">2.05,1.55</t>
  </si>
  <si>
    <t xml:space="preserve">2.05,1.05</t>
  </si>
  <si>
    <t xml:space="preserve">2.05,0.15</t>
  </si>
  <si>
    <t xml:space="preserve">2.05,0.55</t>
  </si>
  <si>
    <t xml:space="preserve">2.55,3.55</t>
  </si>
  <si>
    <t xml:space="preserve">2.55,3.05</t>
  </si>
  <si>
    <t xml:space="preserve">2.55,2.55</t>
  </si>
  <si>
    <t xml:space="preserve">2.55,2.05</t>
  </si>
  <si>
    <t xml:space="preserve">2.55,1.55</t>
  </si>
  <si>
    <t xml:space="preserve">2.55,1.05</t>
  </si>
  <si>
    <t xml:space="preserve">2.55,0.15</t>
  </si>
  <si>
    <t xml:space="preserve">2.55,0.55</t>
  </si>
  <si>
    <t xml:space="preserve">3.05,3.55</t>
  </si>
  <si>
    <t xml:space="preserve">3.05,3.05</t>
  </si>
  <si>
    <t xml:space="preserve">3.05,2.55</t>
  </si>
  <si>
    <t xml:space="preserve">3.05,2.05</t>
  </si>
  <si>
    <t xml:space="preserve">3.05,1.55</t>
  </si>
  <si>
    <t xml:space="preserve">3.05,1.05</t>
  </si>
  <si>
    <t xml:space="preserve">3.05,0.15</t>
  </si>
  <si>
    <t xml:space="preserve">3.05,0.55</t>
  </si>
  <si>
    <t xml:space="preserve">3.55,3.55</t>
  </si>
  <si>
    <t xml:space="preserve">3.55,3.05</t>
  </si>
  <si>
    <t xml:space="preserve">3.55,2.55</t>
  </si>
  <si>
    <t xml:space="preserve">3.55,2.05</t>
  </si>
  <si>
    <t xml:space="preserve">3.55,1.55</t>
  </si>
  <si>
    <t xml:space="preserve">3.55,1.05</t>
  </si>
  <si>
    <t xml:space="preserve">3.55,0.15</t>
  </si>
  <si>
    <t xml:space="preserve">3.55,0.55</t>
  </si>
  <si>
    <t xml:space="preserve">4.05,3.05</t>
  </si>
  <si>
    <t xml:space="preserve">4.05,2.55</t>
  </si>
  <si>
    <t xml:space="preserve">4.05,2.05</t>
  </si>
  <si>
    <t xml:space="preserve">4.05,1.55</t>
  </si>
  <si>
    <t xml:space="preserve">4.05,1.05</t>
  </si>
  <si>
    <t xml:space="preserve">4.05,0.15</t>
  </si>
  <si>
    <t xml:space="preserve">4.05,0.55</t>
  </si>
  <si>
    <t xml:space="preserve">4.55,3.05</t>
  </si>
  <si>
    <t xml:space="preserve">4.55,2.55</t>
  </si>
  <si>
    <t xml:space="preserve">4.55,2.05</t>
  </si>
  <si>
    <t xml:space="preserve">4.55,1.55</t>
  </si>
  <si>
    <t xml:space="preserve">4.55,1.05</t>
  </si>
  <si>
    <t xml:space="preserve">4.55,0.15</t>
  </si>
  <si>
    <t xml:space="preserve">4.55,0.55</t>
  </si>
  <si>
    <t xml:space="preserve">5.05,2.55</t>
  </si>
  <si>
    <t xml:space="preserve">5.05,2.05</t>
  </si>
  <si>
    <t xml:space="preserve">5.05,1.55</t>
  </si>
  <si>
    <t xml:space="preserve">5.05,1.05</t>
  </si>
  <si>
    <t xml:space="preserve">5.05,0.15</t>
  </si>
  <si>
    <t xml:space="preserve">5.05,0.55</t>
  </si>
  <si>
    <t xml:space="preserve">5.45,2.05</t>
  </si>
  <si>
    <t xml:space="preserve">5.45,1.55</t>
  </si>
  <si>
    <t xml:space="preserve">5.45,1.05</t>
  </si>
  <si>
    <t xml:space="preserve">5.45,0.15</t>
  </si>
  <si>
    <t xml:space="preserve">5.45,0.55</t>
  </si>
  <si>
    <t xml:space="preserve">cut charge calculation</t>
  </si>
  <si>
    <t xml:space="preserve">Diameter of empty holes(De)</t>
  </si>
  <si>
    <t xml:space="preserve">rock constant(C)</t>
  </si>
  <si>
    <t xml:space="preserve">Stemming length(T)=10*d</t>
  </si>
  <si>
    <t xml:space="preserve">length of holes (m)</t>
  </si>
  <si>
    <t xml:space="preserve">RWS</t>
  </si>
  <si>
    <t xml:space="preserve">charge length(m)=3m-0.45</t>
  </si>
  <si>
    <t xml:space="preserve">charged holes diameter(d)</t>
  </si>
  <si>
    <t xml:space="preserve">section of cut</t>
  </si>
  <si>
    <t xml:space="preserve">burden value</t>
  </si>
  <si>
    <t xml:space="preserve">side of section(A)</t>
  </si>
  <si>
    <t xml:space="preserve">charge concentration(q)</t>
  </si>
  <si>
    <t xml:space="preserve">q*no. of holes</t>
  </si>
  <si>
    <t xml:space="preserve">Q</t>
  </si>
  <si>
    <t xml:space="preserve">Q*L</t>
  </si>
  <si>
    <t xml:space="preserve">first </t>
  </si>
  <si>
    <t xml:space="preserve">B1= 1.5De</t>
  </si>
  <si>
    <t xml:space="preserve">A1=(2^0.5)*B1</t>
  </si>
  <si>
    <t xml:space="preserve">q1</t>
  </si>
  <si>
    <t xml:space="preserve">q1*4</t>
  </si>
  <si>
    <t xml:space="preserve">second</t>
  </si>
  <si>
    <t xml:space="preserve">B2=(2^0.5)*B1</t>
  </si>
  <si>
    <t xml:space="preserve">A2=1.5*(2^0.5)*A1</t>
  </si>
  <si>
    <t xml:space="preserve">q2</t>
  </si>
  <si>
    <t xml:space="preserve">q2*4</t>
  </si>
  <si>
    <t xml:space="preserve">third</t>
  </si>
  <si>
    <t xml:space="preserve">B3= 1.5*(2^0.5)*B2</t>
  </si>
  <si>
    <t xml:space="preserve">A3=1.5*(2^0.5)*A2</t>
  </si>
  <si>
    <t xml:space="preserve">q3</t>
  </si>
  <si>
    <t xml:space="preserve">q3*4</t>
  </si>
  <si>
    <t xml:space="preserve">fourth</t>
  </si>
  <si>
    <t xml:space="preserve">B4= 1.5*(2^0.5)*B3</t>
  </si>
  <si>
    <t xml:space="preserve">A4=1.5*(2^0.5)*A3</t>
  </si>
  <si>
    <t xml:space="preserve">q4</t>
  </si>
  <si>
    <t xml:space="preserve">q4*4</t>
  </si>
  <si>
    <t xml:space="preserve">rest holes charge calculation</t>
  </si>
  <si>
    <t xml:space="preserve">charge hole diameter(d)</t>
  </si>
  <si>
    <t xml:space="preserve">density of explosive(g/cm3)</t>
  </si>
  <si>
    <t xml:space="preserve">Q(kg/m)=7.85*(10^-4)*(d^2)*density</t>
  </si>
  <si>
    <t xml:space="preserve">burden(m)=0.88*(q^0.35)</t>
  </si>
  <si>
    <t xml:space="preserve">burden(m)</t>
  </si>
  <si>
    <t xml:space="preserve">length of bottom charge(m)</t>
  </si>
  <si>
    <t xml:space="preserve">charge concentration(kg/m)</t>
  </si>
  <si>
    <t xml:space="preserve">Q=q*L</t>
  </si>
  <si>
    <t xml:space="preserve">Q*no.of holes(kg)</t>
  </si>
  <si>
    <t xml:space="preserve">no of holes</t>
  </si>
  <si>
    <t xml:space="preserve">floor</t>
  </si>
  <si>
    <t xml:space="preserve">wall</t>
  </si>
  <si>
    <t xml:space="preserve">roof</t>
  </si>
  <si>
    <t xml:space="preserve">stoping</t>
  </si>
  <si>
    <t xml:space="preserve">Q_total</t>
  </si>
  <si>
    <t xml:space="preserve">density of rock(kg/m3)</t>
  </si>
  <si>
    <t xml:space="preserve">volume of rock (m3)</t>
  </si>
  <si>
    <t xml:space="preserve">powder factor(kg/m3)</t>
  </si>
  <si>
    <t xml:space="preserve">Kuz-Ram Fragmentation Estimate</t>
  </si>
  <si>
    <t xml:space="preserve">Rock factor, A (assumed - competent hard rock)</t>
  </si>
  <si>
    <t xml:space="preserve">Powder factor (kg/m3)</t>
  </si>
  <si>
    <t xml:space="preserve">V0/Qe = 1/powder factor (m3/kg)</t>
  </si>
  <si>
    <t xml:space="preserve">No. of cut holes (4 sections x 4 holes/section)</t>
  </si>
  <si>
    <t xml:space="preserve">No. of rest holes (floor+wall+roof+stoping)</t>
  </si>
  <si>
    <t xml:space="preserve">Total no. of holes</t>
  </si>
  <si>
    <t xml:space="preserve">Qe = avg. charge per hole (kg) = Q_total/total holes</t>
  </si>
  <si>
    <t xml:space="preserve">RWS (%) (ANFO-equivalent)</t>
  </si>
  <si>
    <t xml:space="preserve">X50 = mean fragment size (cm)</t>
  </si>
  <si>
    <t xml:space="preserve">PPV / Vibration Check (USBM Scaled-Distance)</t>
  </si>
  <si>
    <t xml:space="preserve">Site constant K (USBM typical)</t>
  </si>
  <si>
    <t xml:space="preserve">Site constant B (attenuation exponent)</t>
  </si>
  <si>
    <t xml:space="preserve">Max charge weight per delay, W (kg)</t>
  </si>
  <si>
    <t xml:space="preserve">Distance D (m)</t>
  </si>
  <si>
    <t xml:space="preserve">Predicted PPV (mm/s)</t>
  </si>
  <si>
    <t xml:space="preserve">Safe standoff distance for 50 mm/s limit (m)</t>
  </si>
  <si>
    <t xml:space="preserve">Safe standoff distance for 5 mm/s limit (m)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</si>
</sst>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0"/>
    <numFmt numFmtId="167" formatCode="0.0"/>
  </numFmts>
  <fonts count="8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ptos Narrow"/>
      <family val="0"/>
      <charset val="1"/>
    </font>
    <font>
      <sz val="11"/>
      <name val="Aptos Narrow"/>
      <family val="0"/>
      <charset val="1"/>
    </font>
    <font>
      <i val="true"/>
      <sz val="9"/>
      <color rgb="FF808080"/>
      <name val="Aptos Narrow"/>
      <family val="0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3" activeCellId="0" sqref="B43"/>
    </sheetView>
  </sheetViews>
  <sheetFormatPr defaultColWidth="8.5390625" defaultRowHeight="14.25" zeroHeight="false" outlineLevelRow="0" outlineLevelCol="0"/>
  <cols>
    <col collapsed="false" customWidth="true" hidden="false" outlineLevel="0" max="1" min="1" style="1" width="30.22"/>
    <col collapsed="false" customWidth="true" hidden="false" outlineLevel="0" max="2" min="2" style="1" width="16.56"/>
    <col collapsed="false" customWidth="true" hidden="false" outlineLevel="0" max="3" min="3" style="1" width="22"/>
    <col collapsed="false" customWidth="true" hidden="false" outlineLevel="0" max="4" min="4" style="1" width="22.89"/>
    <col collapsed="false" customWidth="true" hidden="false" outlineLevel="0" max="5" min="5" style="1" width="21"/>
    <col collapsed="false" customWidth="true" hidden="false" outlineLevel="0" max="6" min="6" style="1" width="19.56"/>
    <col collapsed="false" customWidth="true" hidden="false" outlineLevel="0" max="8" min="8" style="1" width="12"/>
  </cols>
  <sheetData>
    <row r="1" customFormat="false" ht="14.2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</v>
      </c>
    </row>
    <row r="2" customFormat="false" ht="14.25" hidden="false" customHeight="true" outlineLevel="0" collapsed="false">
      <c r="A2" s="1" t="n">
        <v>0.15</v>
      </c>
      <c r="B2" s="1" t="n">
        <v>3.55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</row>
    <row r="3" customFormat="false" ht="14.25" hidden="false" customHeight="true" outlineLevel="0" collapsed="false">
      <c r="A3" s="1" t="n">
        <v>0.55</v>
      </c>
      <c r="B3" s="1" t="n">
        <v>3.55</v>
      </c>
      <c r="F3" s="1" t="s">
        <v>15</v>
      </c>
      <c r="G3" s="1" t="s">
        <v>16</v>
      </c>
      <c r="H3" s="1" t="s">
        <v>17</v>
      </c>
      <c r="I3" s="1" t="s">
        <v>18</v>
      </c>
      <c r="J3" s="1" t="s">
        <v>19</v>
      </c>
      <c r="K3" s="1" t="s">
        <v>20</v>
      </c>
    </row>
    <row r="4" customFormat="false" ht="14.25" hidden="false" customHeight="true" outlineLevel="0" collapsed="false">
      <c r="A4" s="1" t="n">
        <v>1.05</v>
      </c>
      <c r="B4" s="1" t="n">
        <v>3.55</v>
      </c>
      <c r="D4" s="1" t="s">
        <v>21</v>
      </c>
      <c r="F4" s="1" t="s">
        <v>22</v>
      </c>
      <c r="G4" s="1" t="s">
        <v>23</v>
      </c>
      <c r="H4" s="1" t="s">
        <v>24</v>
      </c>
      <c r="I4" s="1" t="s">
        <v>25</v>
      </c>
      <c r="J4" s="1" t="s">
        <v>26</v>
      </c>
      <c r="K4" s="1" t="s">
        <v>27</v>
      </c>
    </row>
    <row r="5" customFormat="false" ht="14.25" hidden="false" customHeight="true" outlineLevel="0" collapsed="false">
      <c r="A5" s="1" t="n">
        <v>1.55</v>
      </c>
      <c r="B5" s="1" t="n">
        <v>3.55</v>
      </c>
      <c r="D5" s="1" t="s">
        <v>28</v>
      </c>
      <c r="F5" s="1" t="s">
        <v>29</v>
      </c>
      <c r="G5" s="1" t="s">
        <v>30</v>
      </c>
      <c r="H5" s="1" t="s">
        <v>31</v>
      </c>
      <c r="I5" s="1" t="s">
        <v>32</v>
      </c>
      <c r="J5" s="1" t="s">
        <v>33</v>
      </c>
      <c r="K5" s="1" t="s">
        <v>34</v>
      </c>
    </row>
    <row r="6" customFormat="false" ht="14.25" hidden="false" customHeight="true" outlineLevel="0" collapsed="false">
      <c r="A6" s="1" t="n">
        <v>2.05</v>
      </c>
      <c r="B6" s="1" t="n">
        <v>3.55</v>
      </c>
      <c r="C6" s="1" t="s">
        <v>35</v>
      </c>
      <c r="D6" s="1" t="s">
        <v>36</v>
      </c>
      <c r="F6" s="1" t="s">
        <v>37</v>
      </c>
      <c r="G6" s="1" t="s">
        <v>38</v>
      </c>
      <c r="H6" s="1" t="s">
        <v>39</v>
      </c>
      <c r="I6" s="1" t="s">
        <v>40</v>
      </c>
      <c r="J6" s="1" t="s">
        <v>41</v>
      </c>
      <c r="K6" s="1" t="s">
        <v>42</v>
      </c>
    </row>
    <row r="7" customFormat="false" ht="14.25" hidden="false" customHeight="true" outlineLevel="0" collapsed="false">
      <c r="A7" s="1" t="n">
        <v>2.55</v>
      </c>
      <c r="B7" s="1" t="n">
        <v>3.55</v>
      </c>
      <c r="C7" s="1" t="s">
        <v>43</v>
      </c>
      <c r="D7" s="1" t="s">
        <v>44</v>
      </c>
      <c r="F7" s="1" t="s">
        <v>45</v>
      </c>
      <c r="G7" s="1" t="s">
        <v>46</v>
      </c>
      <c r="H7" s="1" t="s">
        <v>47</v>
      </c>
      <c r="I7" s="1" t="s">
        <v>48</v>
      </c>
      <c r="J7" s="1" t="s">
        <v>49</v>
      </c>
      <c r="K7" s="1" t="s">
        <v>50</v>
      </c>
    </row>
    <row r="8" customFormat="false" ht="14.25" hidden="false" customHeight="true" outlineLevel="0" collapsed="false">
      <c r="A8" s="1" t="n">
        <v>3.05</v>
      </c>
      <c r="B8" s="1" t="n">
        <v>3.55</v>
      </c>
      <c r="C8" s="1" t="s">
        <v>51</v>
      </c>
      <c r="D8" s="1" t="s">
        <v>52</v>
      </c>
      <c r="F8" s="1" t="s">
        <v>53</v>
      </c>
      <c r="G8" s="1" t="s">
        <v>54</v>
      </c>
      <c r="H8" s="1" t="s">
        <v>55</v>
      </c>
      <c r="I8" s="1" t="s">
        <v>56</v>
      </c>
      <c r="J8" s="1" t="s">
        <v>57</v>
      </c>
      <c r="K8" s="1" t="s">
        <v>58</v>
      </c>
    </row>
    <row r="9" customFormat="false" ht="14.25" hidden="false" customHeight="true" outlineLevel="0" collapsed="false">
      <c r="A9" s="1" t="n">
        <v>3.55</v>
      </c>
      <c r="B9" s="1" t="n">
        <v>3.55</v>
      </c>
      <c r="C9" s="1" t="s">
        <v>59</v>
      </c>
      <c r="D9" s="1" t="s">
        <v>60</v>
      </c>
      <c r="F9" s="1" t="s">
        <v>61</v>
      </c>
      <c r="G9" s="1" t="s">
        <v>62</v>
      </c>
      <c r="H9" s="1" t="s">
        <v>63</v>
      </c>
      <c r="I9" s="1" t="s">
        <v>64</v>
      </c>
      <c r="J9" s="1" t="s">
        <v>65</v>
      </c>
      <c r="K9" s="1" t="s">
        <v>66</v>
      </c>
    </row>
    <row r="10" customFormat="false" ht="14.25" hidden="false" customHeight="true" outlineLevel="0" collapsed="false">
      <c r="A10" s="1" t="n">
        <v>4.05</v>
      </c>
      <c r="B10" s="1" t="n">
        <v>3.55</v>
      </c>
      <c r="D10" s="1" t="s">
        <v>67</v>
      </c>
      <c r="F10" s="1" t="s">
        <v>68</v>
      </c>
      <c r="G10" s="1" t="s">
        <v>69</v>
      </c>
      <c r="H10" s="1" t="s">
        <v>70</v>
      </c>
      <c r="I10" s="1" t="s">
        <v>71</v>
      </c>
      <c r="J10" s="1" t="s">
        <v>72</v>
      </c>
      <c r="K10" s="1" t="s">
        <v>73</v>
      </c>
    </row>
    <row r="11" customFormat="false" ht="14.25" hidden="false" customHeight="true" outlineLevel="0" collapsed="false">
      <c r="A11" s="1" t="n">
        <v>4.55</v>
      </c>
      <c r="B11" s="1" t="n">
        <v>3.55</v>
      </c>
      <c r="D11" s="1" t="s">
        <v>74</v>
      </c>
      <c r="F11" s="1" t="s">
        <v>75</v>
      </c>
      <c r="G11" s="1" t="s">
        <v>76</v>
      </c>
      <c r="H11" s="1" t="s">
        <v>77</v>
      </c>
      <c r="I11" s="1" t="s">
        <v>78</v>
      </c>
      <c r="J11" s="1" t="s">
        <v>79</v>
      </c>
      <c r="K11" s="1" t="s">
        <v>80</v>
      </c>
    </row>
    <row r="12" customFormat="false" ht="14.25" hidden="false" customHeight="true" outlineLevel="0" collapsed="false">
      <c r="A12" s="1" t="n">
        <v>5.05</v>
      </c>
      <c r="B12" s="1" t="n">
        <v>3.55</v>
      </c>
      <c r="F12" s="1" t="s">
        <v>81</v>
      </c>
      <c r="G12" s="1" t="s">
        <v>82</v>
      </c>
      <c r="H12" s="1" t="s">
        <v>83</v>
      </c>
      <c r="I12" s="1" t="s">
        <v>84</v>
      </c>
      <c r="J12" s="1" t="s">
        <v>85</v>
      </c>
      <c r="K12" s="1" t="s">
        <v>86</v>
      </c>
    </row>
    <row r="13" customFormat="false" ht="14.25" hidden="false" customHeight="true" outlineLevel="0" collapsed="false">
      <c r="A13" s="1" t="n">
        <v>5.45</v>
      </c>
      <c r="B13" s="1" t="n">
        <v>3.55</v>
      </c>
      <c r="G13" s="1" t="s">
        <v>87</v>
      </c>
      <c r="H13" s="1" t="s">
        <v>88</v>
      </c>
      <c r="I13" s="1" t="s">
        <v>89</v>
      </c>
      <c r="J13" s="1" t="s">
        <v>90</v>
      </c>
      <c r="K13" s="1" t="s">
        <v>91</v>
      </c>
    </row>
    <row r="16" customFormat="false" ht="14.25" hidden="false" customHeight="true" outlineLevel="0" collapsed="false">
      <c r="A16" s="1" t="s">
        <v>92</v>
      </c>
    </row>
    <row r="18" customFormat="false" ht="14.25" hidden="false" customHeight="true" outlineLevel="0" collapsed="false">
      <c r="A18" s="1" t="s">
        <v>93</v>
      </c>
      <c r="B18" s="1" t="n">
        <v>102</v>
      </c>
      <c r="C18" s="1" t="s">
        <v>94</v>
      </c>
      <c r="D18" s="1" t="n">
        <v>0.6</v>
      </c>
      <c r="E18" s="1" t="s">
        <v>95</v>
      </c>
      <c r="F18" s="1" t="n">
        <v>0.45</v>
      </c>
    </row>
    <row r="19" customFormat="false" ht="14.25" hidden="false" customHeight="true" outlineLevel="0" collapsed="false">
      <c r="A19" s="1" t="s">
        <v>96</v>
      </c>
      <c r="B19" s="1" t="n">
        <v>3</v>
      </c>
      <c r="C19" s="1" t="s">
        <v>97</v>
      </c>
      <c r="D19" s="1" t="n">
        <v>1</v>
      </c>
      <c r="E19" s="1" t="s">
        <v>98</v>
      </c>
      <c r="F19" s="1" t="n">
        <v>2.55</v>
      </c>
    </row>
    <row r="20" customFormat="false" ht="14.25" hidden="false" customHeight="true" outlineLevel="0" collapsed="false">
      <c r="A20" s="1" t="s">
        <v>99</v>
      </c>
      <c r="B20" s="1" t="n">
        <v>0.045</v>
      </c>
    </row>
    <row r="22" customFormat="false" ht="14.25" hidden="false" customHeight="true" outlineLevel="0" collapsed="false">
      <c r="A22" s="1" t="s">
        <v>100</v>
      </c>
      <c r="B22" s="1" t="s">
        <v>101</v>
      </c>
      <c r="D22" s="1" t="s">
        <v>102</v>
      </c>
      <c r="F22" s="1" t="s">
        <v>103</v>
      </c>
      <c r="H22" s="1" t="s">
        <v>104</v>
      </c>
      <c r="I22" s="1" t="s">
        <v>105</v>
      </c>
      <c r="J22" s="1" t="s">
        <v>106</v>
      </c>
    </row>
    <row r="23" customFormat="false" ht="14.25" hidden="false" customHeight="true" outlineLevel="0" collapsed="false">
      <c r="A23" s="1" t="s">
        <v>107</v>
      </c>
      <c r="B23" s="1" t="s">
        <v>108</v>
      </c>
      <c r="C23" s="1" t="n">
        <v>0.153</v>
      </c>
      <c r="D23" s="1" t="s">
        <v>109</v>
      </c>
      <c r="E23" s="1" t="n">
        <f aca="false">SQRT(2)*0.153</f>
        <v>0.216374675043084</v>
      </c>
      <c r="F23" s="1" t="s">
        <v>110</v>
      </c>
      <c r="G23" s="1" t="n">
        <f aca="false">((C23^2)*B20*D18)/((0.088^2)*E23*D19)</f>
        <v>0.377202752205789</v>
      </c>
      <c r="H23" s="1" t="s">
        <v>111</v>
      </c>
      <c r="I23" s="1" t="n">
        <f aca="false">G23*4</f>
        <v>1.50881100882315</v>
      </c>
      <c r="J23" s="1" t="n">
        <f aca="false">I23*F19</f>
        <v>3.84746807249904</v>
      </c>
    </row>
    <row r="24" customFormat="false" ht="14.25" hidden="false" customHeight="true" outlineLevel="0" collapsed="false">
      <c r="A24" s="1" t="s">
        <v>112</v>
      </c>
      <c r="B24" s="1" t="s">
        <v>113</v>
      </c>
      <c r="C24" s="1" t="n">
        <f aca="false">SQRT(2)*C23</f>
        <v>0.216374675043084</v>
      </c>
      <c r="D24" s="1" t="s">
        <v>114</v>
      </c>
      <c r="E24" s="1" t="n">
        <f aca="false">1.5*(2^0.5)*E23</f>
        <v>0.459</v>
      </c>
      <c r="F24" s="1" t="s">
        <v>115</v>
      </c>
      <c r="G24" s="1" t="n">
        <f aca="false">((C24^2)*B20*D18)/((0.088^2)*E24*D19)</f>
        <v>0.355630165289256</v>
      </c>
      <c r="H24" s="1" t="s">
        <v>116</v>
      </c>
      <c r="I24" s="1" t="n">
        <f aca="false">G24*4</f>
        <v>1.42252066115702</v>
      </c>
      <c r="J24" s="1" t="n">
        <f aca="false">I24*F19</f>
        <v>3.62742768595041</v>
      </c>
    </row>
    <row r="25" customFormat="false" ht="14.25" hidden="false" customHeight="true" outlineLevel="0" collapsed="false">
      <c r="A25" s="1" t="s">
        <v>117</v>
      </c>
      <c r="B25" s="1" t="s">
        <v>118</v>
      </c>
      <c r="C25" s="1" t="n">
        <f aca="false">1.5*(2^0.5)*C24</f>
        <v>0.459</v>
      </c>
      <c r="D25" s="1" t="s">
        <v>119</v>
      </c>
      <c r="E25" s="1" t="n">
        <f aca="false">1.5*(2^0.5)*E24</f>
        <v>0.973686037693876</v>
      </c>
      <c r="F25" s="1" t="s">
        <v>120</v>
      </c>
      <c r="G25" s="1" t="n">
        <f aca="false">((C25^2)*B20*D18)/((0.088^2)*E25*D19)</f>
        <v>0.754405504411578</v>
      </c>
      <c r="H25" s="1" t="s">
        <v>121</v>
      </c>
      <c r="I25" s="1" t="n">
        <f aca="false">G25*4</f>
        <v>3.01762201764631</v>
      </c>
      <c r="J25" s="1" t="n">
        <f aca="false">I25*F19</f>
        <v>7.69493614499809</v>
      </c>
    </row>
    <row r="26" customFormat="false" ht="14.25" hidden="false" customHeight="true" outlineLevel="0" collapsed="false">
      <c r="A26" s="1" t="s">
        <v>122</v>
      </c>
      <c r="B26" s="1" t="s">
        <v>123</v>
      </c>
      <c r="C26" s="1" t="n">
        <f aca="false">1.5*(2^0.5)*C25</f>
        <v>0.973686037693876</v>
      </c>
      <c r="D26" s="1" t="s">
        <v>124</v>
      </c>
      <c r="E26" s="1" t="n">
        <f aca="false">1.5*(2^0.5)*E25</f>
        <v>2.0655</v>
      </c>
      <c r="F26" s="1" t="s">
        <v>125</v>
      </c>
      <c r="G26" s="1" t="n">
        <f aca="false">((C26^2)*B20*D18)/((0.088^2)*E26*D19)</f>
        <v>1.60033574380165</v>
      </c>
      <c r="H26" s="1" t="s">
        <v>126</v>
      </c>
      <c r="I26" s="1" t="n">
        <f aca="false">G26*4</f>
        <v>6.40134297520661</v>
      </c>
      <c r="J26" s="1" t="n">
        <f aca="false">I26*F19</f>
        <v>16.3234245867769</v>
      </c>
    </row>
    <row r="27" customFormat="false" ht="14.25" hidden="false" customHeight="true" outlineLevel="0" collapsed="false">
      <c r="J27" s="1" t="n">
        <f aca="false">J23+J24+J25+J26</f>
        <v>31.4932564902244</v>
      </c>
    </row>
    <row r="28" customFormat="false" ht="14.25" hidden="false" customHeight="true" outlineLevel="0" collapsed="false">
      <c r="A28" s="1" t="s">
        <v>127</v>
      </c>
    </row>
    <row r="30" customFormat="false" ht="14.25" hidden="false" customHeight="true" outlineLevel="0" collapsed="false">
      <c r="A30" s="1" t="s">
        <v>128</v>
      </c>
      <c r="B30" s="1" t="n">
        <v>0.045</v>
      </c>
    </row>
    <row r="31" customFormat="false" ht="14.25" hidden="false" customHeight="true" outlineLevel="0" collapsed="false">
      <c r="A31" s="1" t="s">
        <v>129</v>
      </c>
      <c r="B31" s="1" t="n">
        <v>0.85</v>
      </c>
    </row>
    <row r="32" customFormat="false" ht="14.25" hidden="false" customHeight="true" outlineLevel="0" collapsed="false">
      <c r="A32" s="1" t="s">
        <v>130</v>
      </c>
      <c r="B32" s="1" t="n">
        <f aca="false">7.85*(B30^2)*B31*1000000*(10^-4)</f>
        <v>1.35118125</v>
      </c>
    </row>
    <row r="33" customFormat="false" ht="14.25" hidden="false" customHeight="true" outlineLevel="0" collapsed="false">
      <c r="A33" s="1" t="s">
        <v>131</v>
      </c>
      <c r="B33" s="1" t="n">
        <f aca="false">0.88*(B32^0.35)</f>
        <v>0.97776038110843</v>
      </c>
    </row>
    <row r="35" customFormat="false" ht="14.25" hidden="false" customHeight="true" outlineLevel="0" collapsed="false">
      <c r="B35" s="1" t="s">
        <v>132</v>
      </c>
      <c r="C35" s="1" t="s">
        <v>133</v>
      </c>
      <c r="D35" s="1" t="s">
        <v>134</v>
      </c>
      <c r="E35" s="1" t="s">
        <v>135</v>
      </c>
      <c r="F35" s="1" t="s">
        <v>136</v>
      </c>
      <c r="G35" s="1" t="s">
        <v>137</v>
      </c>
    </row>
    <row r="36" customFormat="false" ht="14.25" hidden="false" customHeight="true" outlineLevel="0" collapsed="false">
      <c r="A36" s="1" t="s">
        <v>138</v>
      </c>
      <c r="B36" s="1" t="n">
        <v>0.97776038110843</v>
      </c>
      <c r="C36" s="1" t="n">
        <f aca="false">B19/3</f>
        <v>1</v>
      </c>
      <c r="D36" s="1" t="n">
        <f aca="false">B32*1</f>
        <v>1.35118125</v>
      </c>
      <c r="E36" s="1" t="n">
        <f aca="false">D36*C36</f>
        <v>1.35118125</v>
      </c>
      <c r="F36" s="1" t="n">
        <f aca="false">E36*12</f>
        <v>16.214175</v>
      </c>
      <c r="G36" s="1" t="n">
        <v>12</v>
      </c>
    </row>
    <row r="37" customFormat="false" ht="14.25" hidden="false" customHeight="true" outlineLevel="0" collapsed="false">
      <c r="A37" s="1" t="s">
        <v>139</v>
      </c>
      <c r="B37" s="1" t="n">
        <f aca="false">0.9*B33</f>
        <v>0.879984342997587</v>
      </c>
      <c r="C37" s="1" t="n">
        <f aca="false">B19/6</f>
        <v>0.5</v>
      </c>
      <c r="D37" s="1" t="n">
        <f aca="false">B32*1</f>
        <v>1.35118125</v>
      </c>
      <c r="E37" s="1" t="n">
        <f aca="false">D37*C37</f>
        <v>0.675590625</v>
      </c>
      <c r="F37" s="1" t="n">
        <f aca="false">E37*8</f>
        <v>5.404725</v>
      </c>
      <c r="G37" s="1" t="n">
        <v>8</v>
      </c>
    </row>
    <row r="38" customFormat="false" ht="14.25" hidden="false" customHeight="true" outlineLevel="0" collapsed="false">
      <c r="A38" s="1" t="s">
        <v>140</v>
      </c>
      <c r="B38" s="1" t="n">
        <f aca="false">0.9*B33</f>
        <v>0.879984342997587</v>
      </c>
      <c r="C38" s="1" t="n">
        <f aca="false">B19/6</f>
        <v>0.5</v>
      </c>
      <c r="D38" s="1" t="n">
        <f aca="false">B32*1</f>
        <v>1.35118125</v>
      </c>
      <c r="E38" s="1" t="n">
        <f aca="false">D38*C38</f>
        <v>0.675590625</v>
      </c>
      <c r="F38" s="1" t="n">
        <f aca="false">E38*8</f>
        <v>5.404725</v>
      </c>
      <c r="G38" s="1" t="n">
        <v>8</v>
      </c>
    </row>
    <row r="39" customFormat="false" ht="14.25" hidden="false" customHeight="true" outlineLevel="0" collapsed="false">
      <c r="A39" s="1" t="s">
        <v>141</v>
      </c>
      <c r="B39" s="1" t="n">
        <v>0.97776038110843</v>
      </c>
      <c r="C39" s="1" t="n">
        <v>0.5</v>
      </c>
      <c r="D39" s="1" t="n">
        <f aca="false">B32*1</f>
        <v>1.35118125</v>
      </c>
      <c r="E39" s="1" t="n">
        <f aca="false">D39*C39</f>
        <v>0.675590625</v>
      </c>
      <c r="F39" s="1" t="n">
        <f aca="false">E39*50</f>
        <v>33.77953125</v>
      </c>
      <c r="G39" s="1" t="n">
        <v>50</v>
      </c>
    </row>
    <row r="40" customFormat="false" ht="14.25" hidden="false" customHeight="true" outlineLevel="0" collapsed="false">
      <c r="F40" s="1" t="n">
        <f aca="false">F36+F37+F38+F39</f>
        <v>60.80315625</v>
      </c>
    </row>
    <row r="41" customFormat="false" ht="14.25" hidden="false" customHeight="true" outlineLevel="0" collapsed="false">
      <c r="A41" s="1" t="s">
        <v>142</v>
      </c>
      <c r="B41" s="1" t="n">
        <f aca="false">J27+F40</f>
        <v>92.2964127402244</v>
      </c>
      <c r="C41" s="1" t="s">
        <v>143</v>
      </c>
      <c r="D41" s="1" t="n">
        <v>2700</v>
      </c>
    </row>
    <row r="42" customFormat="false" ht="14.25" hidden="false" customHeight="true" outlineLevel="0" collapsed="false">
      <c r="A42" s="1" t="s">
        <v>144</v>
      </c>
      <c r="B42" s="1" t="n">
        <f aca="false">19.6*3</f>
        <v>58.8</v>
      </c>
    </row>
    <row r="43" customFormat="false" ht="14.25" hidden="false" customHeight="true" outlineLevel="0" collapsed="false">
      <c r="A43" s="1" t="s">
        <v>145</v>
      </c>
      <c r="B43" s="1" t="n">
        <f aca="false">B41/B42</f>
        <v>1.56966688333715</v>
      </c>
    </row>
    <row r="45" customFormat="false" ht="14.25" hidden="false" customHeight="true" outlineLevel="0" collapsed="false">
      <c r="A45" s="2" t="s">
        <v>146</v>
      </c>
    </row>
    <row r="46" customFormat="false" ht="14.25" hidden="false" customHeight="true" outlineLevel="0" collapsed="false">
      <c r="A46" s="2"/>
    </row>
    <row r="47" customFormat="false" ht="14.25" hidden="false" customHeight="true" outlineLevel="0" collapsed="false">
      <c r="A47" s="3" t="s">
        <v>147</v>
      </c>
      <c r="B47" s="3" t="n">
        <v>10</v>
      </c>
    </row>
    <row r="48" customFormat="false" ht="14.25" hidden="false" customHeight="true" outlineLevel="0" collapsed="false">
      <c r="A48" s="3" t="s">
        <v>148</v>
      </c>
      <c r="B48" s="4" t="n">
        <f aca="false">B43</f>
        <v>1.56966688333715</v>
      </c>
    </row>
    <row r="49" customFormat="false" ht="14.25" hidden="false" customHeight="true" outlineLevel="0" collapsed="false">
      <c r="A49" s="3" t="s">
        <v>149</v>
      </c>
      <c r="B49" s="4" t="n">
        <f aca="false">1/B48</f>
        <v>0.63707784792782</v>
      </c>
    </row>
    <row r="50" customFormat="false" ht="14.25" hidden="false" customHeight="true" outlineLevel="0" collapsed="false">
      <c r="A50" s="3" t="s">
        <v>150</v>
      </c>
      <c r="B50" s="3" t="n">
        <f aca="false">4*4</f>
        <v>16</v>
      </c>
    </row>
    <row r="51" customFormat="false" ht="14.25" hidden="false" customHeight="true" outlineLevel="0" collapsed="false">
      <c r="A51" s="3" t="s">
        <v>151</v>
      </c>
      <c r="B51" s="3" t="n">
        <f aca="false">G36+G37+G38+G39</f>
        <v>78</v>
      </c>
    </row>
    <row r="52" customFormat="false" ht="14.25" hidden="false" customHeight="true" outlineLevel="0" collapsed="false">
      <c r="A52" s="3" t="s">
        <v>152</v>
      </c>
      <c r="B52" s="3" t="n">
        <f aca="false">B50+B51</f>
        <v>94</v>
      </c>
    </row>
    <row r="53" customFormat="false" ht="14.25" hidden="false" customHeight="true" outlineLevel="0" collapsed="false">
      <c r="A53" s="3" t="s">
        <v>153</v>
      </c>
      <c r="B53" s="4" t="n">
        <f aca="false">B41/B52</f>
        <v>0.981876731278983</v>
      </c>
    </row>
    <row r="54" customFormat="false" ht="14.25" hidden="false" customHeight="true" outlineLevel="0" collapsed="false">
      <c r="A54" s="3" t="s">
        <v>154</v>
      </c>
      <c r="B54" s="5" t="n">
        <f aca="false">D19*100</f>
        <v>100</v>
      </c>
    </row>
    <row r="55" customFormat="false" ht="14.25" hidden="false" customHeight="true" outlineLevel="0" collapsed="false">
      <c r="A55" s="3" t="s">
        <v>155</v>
      </c>
      <c r="B55" s="4" t="n">
        <f aca="false">B47*(B49^0.8)*(B53^(1/6))*((115/B54)^(19/30))</f>
        <v>7.59402688581421</v>
      </c>
    </row>
    <row r="56" customFormat="false" ht="14.25" hidden="false" customHeight="true" outlineLevel="0" collapsed="false">
      <c r="A56" s="3"/>
      <c r="B56" s="3"/>
    </row>
    <row r="57" customFormat="false" ht="14.25" hidden="false" customHeight="true" outlineLevel="0" collapsed="false">
      <c r="A57" s="2" t="s">
        <v>156</v>
      </c>
      <c r="B57" s="3"/>
    </row>
    <row r="58" customFormat="false" ht="14.25" hidden="false" customHeight="true" outlineLevel="0" collapsed="false">
      <c r="A58" s="6"/>
    </row>
    <row r="59" customFormat="false" ht="14.25" hidden="false" customHeight="true" outlineLevel="0" collapsed="false">
      <c r="A59" s="3" t="s">
        <v>157</v>
      </c>
      <c r="B59" s="3" t="n">
        <v>1140</v>
      </c>
    </row>
    <row r="60" customFormat="false" ht="14.25" hidden="false" customHeight="true" outlineLevel="0" collapsed="false">
      <c r="A60" s="3" t="s">
        <v>158</v>
      </c>
      <c r="B60" s="3" t="n">
        <v>1.6</v>
      </c>
    </row>
    <row r="61" customFormat="false" ht="14.25" hidden="false" customHeight="true" outlineLevel="0" collapsed="false">
      <c r="A61" s="3" t="s">
        <v>159</v>
      </c>
      <c r="B61" s="3" t="n">
        <v>6.4</v>
      </c>
    </row>
    <row r="62" customFormat="false" ht="14.25" hidden="false" customHeight="true" outlineLevel="0" collapsed="false">
      <c r="A62" s="3"/>
      <c r="B62" s="3"/>
    </row>
    <row r="63" customFormat="false" ht="14.25" hidden="false" customHeight="true" outlineLevel="0" collapsed="false">
      <c r="A63" s="2" t="s">
        <v>160</v>
      </c>
      <c r="B63" s="2" t="s">
        <v>161</v>
      </c>
    </row>
    <row r="64" customFormat="false" ht="14.25" hidden="false" customHeight="true" outlineLevel="0" collapsed="false">
      <c r="A64" s="3" t="n">
        <v>5</v>
      </c>
      <c r="B64" s="7" t="n">
        <f aca="false">$B$59*(A64/SQRT($B$61))^(-$B$60)</f>
        <v>383.262937218598</v>
      </c>
    </row>
    <row r="65" customFormat="false" ht="14.25" hidden="false" customHeight="true" outlineLevel="0" collapsed="false">
      <c r="A65" s="3" t="n">
        <v>10</v>
      </c>
      <c r="B65" s="7" t="n">
        <f aca="false">$B$59*(A65/SQRT($B$61))^(-$B$60)</f>
        <v>126.429619391499</v>
      </c>
    </row>
    <row r="66" customFormat="false" ht="14.25" hidden="false" customHeight="true" outlineLevel="0" collapsed="false">
      <c r="A66" s="3" t="n">
        <v>20</v>
      </c>
      <c r="B66" s="7" t="n">
        <f aca="false">$B$59*(A66/SQRT($B$61))^(-$B$60)</f>
        <v>41.7062207357722</v>
      </c>
    </row>
    <row r="67" customFormat="false" ht="14.25" hidden="false" customHeight="true" outlineLevel="0" collapsed="false">
      <c r="A67" s="3" t="n">
        <v>30</v>
      </c>
      <c r="B67" s="7" t="n">
        <f aca="false">$B$59*(A67/SQRT($B$61))^(-$B$60)</f>
        <v>21.7999161405001</v>
      </c>
    </row>
    <row r="68" customFormat="false" ht="14.25" hidden="false" customHeight="true" outlineLevel="0" collapsed="false">
      <c r="A68" s="3" t="n">
        <v>50</v>
      </c>
      <c r="B68" s="7" t="n">
        <f aca="false">$B$59*(A68/SQRT($B$61))^(-$B$60)</f>
        <v>9.62712971699903</v>
      </c>
    </row>
    <row r="69" customFormat="false" ht="14.25" hidden="false" customHeight="true" outlineLevel="0" collapsed="false">
      <c r="A69" s="3"/>
      <c r="B69" s="3"/>
    </row>
    <row r="70" customFormat="false" ht="14.25" hidden="false" customHeight="true" outlineLevel="0" collapsed="false">
      <c r="A70" s="3" t="s">
        <v>162</v>
      </c>
      <c r="B70" s="4" t="n">
        <f aca="false">SQRT($B$61)*($B$59/50)^(1/$B$60)</f>
        <v>17.8566203989123</v>
      </c>
    </row>
    <row r="71" customFormat="false" ht="14.25" hidden="false" customHeight="true" outlineLevel="0" collapsed="false">
      <c r="A71" s="3" t="s">
        <v>163</v>
      </c>
      <c r="B71" s="4" t="n">
        <f aca="false">SQRT($B$61)*($B$59/5)^(1/$B$60)</f>
        <v>75.3007438527279</v>
      </c>
    </row>
    <row r="73" customFormat="false" ht="14.25" hidden="false" customHeight="true" outlineLevel="0" collapsed="false">
      <c r="A73" s="3"/>
      <c r="B73" s="3"/>
    </row>
    <row r="74" customFormat="false" ht="14.25" hidden="false" customHeight="true" outlineLevel="0" collapsed="false">
      <c r="A74" s="3"/>
      <c r="B74" s="3"/>
    </row>
    <row r="75" customFormat="false" ht="14.25" hidden="false" customHeight="true" outlineLevel="0" collapsed="false">
      <c r="A75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2026-02-09T10:35:40Z</dcterms:created>
  <dc:creator>lakshay soni</dc:creator>
  <dc:description/>
  <dc:language>en-US</dc:language>
  <cp:lastModifiedBy>lakshay soni</cp:lastModifiedBy>
  <dcterms:modified xsi:type="dcterms:W3CDTF">2026-09-09T15:53:36Z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